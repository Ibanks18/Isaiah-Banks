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9840banksi/Downloads/"/>
    </mc:Choice>
  </mc:AlternateContent>
  <xr:revisionPtr revIDLastSave="0" documentId="8_{533AE193-2A83-A84F-8143-8E15DA73DCE6}" xr6:coauthVersionLast="47" xr6:coauthVersionMax="47" xr10:uidLastSave="{00000000-0000-0000-0000-000000000000}"/>
  <bookViews>
    <workbookView xWindow="0" yWindow="0" windowWidth="28800" windowHeight="18000" xr2:uid="{E60C6533-24A6-B44B-90B4-AA908C063AE3}"/>
  </bookViews>
  <sheets>
    <sheet name="Project Data" sheetId="1" r:id="rId1"/>
    <sheet name="Analysis " sheetId="2" r:id="rId2"/>
    <sheet name="Dashboard" sheetId="3" r:id="rId3"/>
  </sheets>
  <calcPr calcId="191029"/>
  <pivotCaches>
    <pivotCache cacheId="57" r:id="rId4"/>
    <pivotCache cacheId="6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B8" i="3"/>
  <c r="A8" i="3"/>
  <c r="O4" i="1"/>
  <c r="O5" i="1"/>
  <c r="O7" i="1"/>
  <c r="O8" i="1"/>
  <c r="O9" i="1"/>
  <c r="O11" i="1"/>
  <c r="O12" i="1"/>
  <c r="O13" i="1"/>
  <c r="O15" i="1"/>
  <c r="O16" i="1"/>
  <c r="O17" i="1"/>
  <c r="O3" i="1"/>
  <c r="N4" i="1"/>
  <c r="N5" i="1"/>
  <c r="N7" i="1"/>
  <c r="N8" i="1"/>
  <c r="N9" i="1"/>
  <c r="N11" i="1"/>
  <c r="N12" i="1"/>
  <c r="N13" i="1"/>
  <c r="N15" i="1"/>
  <c r="N16" i="1"/>
  <c r="N17" i="1"/>
  <c r="N3" i="1"/>
  <c r="C8" i="3" l="1"/>
</calcChain>
</file>

<file path=xl/sharedStrings.xml><?xml version="1.0" encoding="utf-8"?>
<sst xmlns="http://schemas.openxmlformats.org/spreadsheetml/2006/main" count="192" uniqueCount="81">
  <si>
    <t>Project ID</t>
  </si>
  <si>
    <t>Program</t>
  </si>
  <si>
    <t xml:space="preserve">Initiative </t>
  </si>
  <si>
    <t>Task</t>
  </si>
  <si>
    <t>Owner</t>
  </si>
  <si>
    <t>Start Date</t>
  </si>
  <si>
    <t>Due Date</t>
  </si>
  <si>
    <t>Status</t>
  </si>
  <si>
    <t xml:space="preserve">Priority </t>
  </si>
  <si>
    <t xml:space="preserve">Risk Level </t>
  </si>
  <si>
    <t>Compliance Category</t>
  </si>
  <si>
    <t>Compliance Status</t>
  </si>
  <si>
    <t>% Complete</t>
  </si>
  <si>
    <t>P001</t>
  </si>
  <si>
    <t>EOP</t>
  </si>
  <si>
    <t xml:space="preserve">Participant Engagement </t>
  </si>
  <si>
    <t>Advisor Meeting  Tracking</t>
  </si>
  <si>
    <t>Attendance</t>
  </si>
  <si>
    <t>Isaiah</t>
  </si>
  <si>
    <t>Mariah</t>
  </si>
  <si>
    <t>Jordan</t>
  </si>
  <si>
    <t>Participant Follow Up Logs</t>
  </si>
  <si>
    <t>In Progress</t>
  </si>
  <si>
    <t>To Do</t>
  </si>
  <si>
    <t>High</t>
  </si>
  <si>
    <t>Low</t>
  </si>
  <si>
    <t>Medium</t>
  </si>
  <si>
    <t xml:space="preserve">Compliant </t>
  </si>
  <si>
    <t xml:space="preserve">Engagement Requirement </t>
  </si>
  <si>
    <t xml:space="preserve">Attendance Tracking </t>
  </si>
  <si>
    <t>Communication Logs</t>
  </si>
  <si>
    <t>P002</t>
  </si>
  <si>
    <t>ETS</t>
  </si>
  <si>
    <t xml:space="preserve">Recruitment </t>
  </si>
  <si>
    <t xml:space="preserve">Ralpael </t>
  </si>
  <si>
    <t>Alex</t>
  </si>
  <si>
    <t xml:space="preserve">Application Tracking </t>
  </si>
  <si>
    <t>Follow up-Communication</t>
  </si>
  <si>
    <t xml:space="preserve"> High School Visit Tracking</t>
  </si>
  <si>
    <t>Outreach Documentation</t>
  </si>
  <si>
    <t xml:space="preserve">Application Reporting </t>
  </si>
  <si>
    <t>Communication logs</t>
  </si>
  <si>
    <t>P003</t>
  </si>
  <si>
    <t>UB</t>
  </si>
  <si>
    <t xml:space="preserve">Summer Bridge </t>
  </si>
  <si>
    <t>Enrollement Verification</t>
  </si>
  <si>
    <t xml:space="preserve">Orientation Schedueling </t>
  </si>
  <si>
    <t>Faculty Cooridnation</t>
  </si>
  <si>
    <t>Mario</t>
  </si>
  <si>
    <t xml:space="preserve">Nathan </t>
  </si>
  <si>
    <t xml:space="preserve">Enrollement Compliance </t>
  </si>
  <si>
    <t xml:space="preserve">Program Schedueling </t>
  </si>
  <si>
    <t>Instructor Coordination</t>
  </si>
  <si>
    <t>P004</t>
  </si>
  <si>
    <t>UBMS</t>
  </si>
  <si>
    <t>Reporting</t>
  </si>
  <si>
    <t>KPI Dashboard Update</t>
  </si>
  <si>
    <t>Data Validatiion</t>
  </si>
  <si>
    <t xml:space="preserve">Stakeholder Report </t>
  </si>
  <si>
    <t>Ashlie</t>
  </si>
  <si>
    <t>Steve</t>
  </si>
  <si>
    <t>To do</t>
  </si>
  <si>
    <t>Reporting Accuracy</t>
  </si>
  <si>
    <t xml:space="preserve">Data Integrity </t>
  </si>
  <si>
    <t xml:space="preserve">Executive Reporting </t>
  </si>
  <si>
    <t xml:space="preserve">Day Remaining </t>
  </si>
  <si>
    <t>Overdue Flag</t>
  </si>
  <si>
    <t>Completed</t>
  </si>
  <si>
    <t>Row Labels</t>
  </si>
  <si>
    <t>Grand Total</t>
  </si>
  <si>
    <t>Count of Task</t>
  </si>
  <si>
    <t>On Track</t>
  </si>
  <si>
    <t>Column Labels</t>
  </si>
  <si>
    <t>Non-Compliant</t>
  </si>
  <si>
    <t>Key Performance Indicators</t>
  </si>
  <si>
    <t>Total Tasks</t>
  </si>
  <si>
    <t xml:space="preserve">% Completed </t>
  </si>
  <si>
    <t>Overdue Tasks</t>
  </si>
  <si>
    <t>% Compliant</t>
  </si>
  <si>
    <t>Compliant</t>
  </si>
  <si>
    <t>Sum of %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</si>
</sst>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2"/>
      <color theme="1"/>
      <name val="Aptos Narrow"/>
      <scheme val="minor"/>
    </font>
    <font>
      <sz val="14"/>
      <color rgb="FF000000"/>
      <name val="Aptos Narrow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9" fontId="0" fillId="0" borderId="0" xfId="0" applyNumberForma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6">
    <dxf>
      <numFmt numFmtId="13" formatCode="0%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scheme val="minor"/>
      </font>
    </dxf>
    <dxf>
      <numFmt numFmtId="13" formatCode="0%"/>
    </dxf>
    <dxf>
      <numFmt numFmtId="19" formatCode="m/d/yy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 Project Tracking .xlsx]Analysis 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Tasks Completed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'Analysis '!$A$4:$A$7</c:f>
              <c:strCache>
                <c:ptCount val="3"/>
                <c:pt idx="0">
                  <c:v>Completed</c:v>
                </c:pt>
                <c:pt idx="1">
                  <c:v>In Progress</c:v>
                </c:pt>
                <c:pt idx="2">
                  <c:v>To Do</c:v>
                </c:pt>
              </c:strCache>
            </c:strRef>
          </c:cat>
          <c:val>
            <c:numRef>
              <c:f>'Analysis '!$B$4:$B$7</c:f>
              <c:numCache>
                <c:formatCode>General</c:formatCode>
                <c:ptCount val="3"/>
                <c:pt idx="0">
                  <c:v>2</c:v>
                </c:pt>
                <c:pt idx="1">
                  <c:v>6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8D-A046-9594-2C526DAC214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5379792"/>
        <c:axId val="263807376"/>
      </c:barChart>
      <c:catAx>
        <c:axId val="8537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807376"/>
        <c:crosses val="autoZero"/>
        <c:auto val="1"/>
        <c:lblAlgn val="ctr"/>
        <c:lblOffset val="100"/>
        <c:noMultiLvlLbl val="0"/>
      </c:catAx>
      <c:valAx>
        <c:axId val="26380737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537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 Project Tracking .xlsx]Analysis !PivotTable14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of Compliant Tasks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'Analysis '!$E$3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A97-8D4C-A542-92A301F471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A97-8D4C-A542-92A301F471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'Analysis '!$D$4:$D$6</c:f>
              <c:strCache>
                <c:ptCount val="2"/>
                <c:pt idx="0">
                  <c:v>Compliant </c:v>
                </c:pt>
                <c:pt idx="1">
                  <c:v>Non-Compliant</c:v>
                </c:pt>
              </c:strCache>
            </c:strRef>
          </c:cat>
          <c:val>
            <c:numRef>
              <c:f>'Analysis '!$E$4:$E$6</c:f>
              <c:numCache>
                <c:formatCode>General</c:formatCode>
                <c:ptCount val="2"/>
                <c:pt idx="0">
                  <c:v>2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97-8D4C-A542-92A301F47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 Project Tracking .xlsx]Analysis 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 Levels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'!$G$4:$G$7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'Analysis '!$H$4:$H$7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5C-3746-B01F-2A05E50B7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427008"/>
        <c:axId val="109549024"/>
      </c:barChart>
      <c:catAx>
        <c:axId val="8042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49024"/>
        <c:crosses val="autoZero"/>
        <c:auto val="1"/>
        <c:lblAlgn val="ctr"/>
        <c:lblOffset val="100"/>
        <c:noMultiLvlLbl val="0"/>
      </c:catAx>
      <c:valAx>
        <c:axId val="10954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2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 Project Tracking .xlsx]Analysis 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Tasks</a:t>
            </a:r>
            <a:r>
              <a:rPr lang="en-US" baseline="0"/>
              <a:t> Distribution by Owner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'!$A$11:$A$20</c:f>
              <c:strCache>
                <c:ptCount val="9"/>
                <c:pt idx="0">
                  <c:v>Alex</c:v>
                </c:pt>
                <c:pt idx="1">
                  <c:v>Ashlie</c:v>
                </c:pt>
                <c:pt idx="2">
                  <c:v>Isaiah</c:v>
                </c:pt>
                <c:pt idx="3">
                  <c:v>Jordan</c:v>
                </c:pt>
                <c:pt idx="4">
                  <c:v>Mariah</c:v>
                </c:pt>
                <c:pt idx="5">
                  <c:v>Mario</c:v>
                </c:pt>
                <c:pt idx="6">
                  <c:v>Nathan </c:v>
                </c:pt>
                <c:pt idx="7">
                  <c:v>Ralpael </c:v>
                </c:pt>
                <c:pt idx="8">
                  <c:v>Steve</c:v>
                </c:pt>
              </c:strCache>
            </c:strRef>
          </c:cat>
          <c:val>
            <c:numRef>
              <c:f>'Analysis '!$B$11:$B$20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27-3E43-8FC7-C772B99E8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299312"/>
        <c:axId val="79887936"/>
      </c:barChart>
      <c:catAx>
        <c:axId val="8029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87936"/>
        <c:crosses val="autoZero"/>
        <c:auto val="1"/>
        <c:lblAlgn val="ctr"/>
        <c:lblOffset val="100"/>
        <c:noMultiLvlLbl val="0"/>
      </c:catAx>
      <c:valAx>
        <c:axId val="7988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9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 Project Tracking .xlsx]Analysis !PivotTable11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'!$H$10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'!$G$11:$G$15</c:f>
              <c:strCache>
                <c:ptCount val="4"/>
                <c:pt idx="0">
                  <c:v>EOP</c:v>
                </c:pt>
                <c:pt idx="1">
                  <c:v>ETS</c:v>
                </c:pt>
                <c:pt idx="2">
                  <c:v>UB</c:v>
                </c:pt>
                <c:pt idx="3">
                  <c:v>UBMS</c:v>
                </c:pt>
              </c:strCache>
            </c:strRef>
          </c:cat>
          <c:val>
            <c:numRef>
              <c:f>'Analysis '!$H$11:$H$15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A6-5B48-8B73-B7119F428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041568"/>
        <c:axId val="109772304"/>
      </c:barChart>
      <c:catAx>
        <c:axId val="11004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72304"/>
        <c:crosses val="autoZero"/>
        <c:auto val="1"/>
        <c:lblAlgn val="ctr"/>
        <c:lblOffset val="100"/>
        <c:noMultiLvlLbl val="0"/>
      </c:catAx>
      <c:valAx>
        <c:axId val="10977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4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114300</xdr:rowOff>
    </xdr:from>
    <xdr:to>
      <xdr:col>4</xdr:col>
      <xdr:colOff>88900</xdr:colOff>
      <xdr:row>9</xdr:row>
      <xdr:rowOff>12700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ABE70A8-FEB1-B369-3232-03CABE6CBD8A}"/>
            </a:ext>
          </a:extLst>
        </xdr:cNvPr>
        <xdr:cNvSpPr/>
      </xdr:nvSpPr>
      <xdr:spPr>
        <a:xfrm>
          <a:off x="0" y="927100"/>
          <a:ext cx="3746500" cy="9144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101600</xdr:colOff>
      <xdr:row>12</xdr:row>
      <xdr:rowOff>127000</xdr:rowOff>
    </xdr:from>
    <xdr:to>
      <xdr:col>5</xdr:col>
      <xdr:colOff>190500</xdr:colOff>
      <xdr:row>26</xdr:row>
      <xdr:rowOff>25400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7CE46678-B255-F65A-2B4C-B459515C6F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812800</xdr:colOff>
      <xdr:row>12</xdr:row>
      <xdr:rowOff>101600</xdr:rowOff>
    </xdr:from>
    <xdr:to>
      <xdr:col>11</xdr:col>
      <xdr:colOff>431800</xdr:colOff>
      <xdr:row>26</xdr:row>
      <xdr:rowOff>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A291851A-99D6-1AED-9682-62B6EEC06B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27</xdr:row>
      <xdr:rowOff>152400</xdr:rowOff>
    </xdr:from>
    <xdr:to>
      <xdr:col>5</xdr:col>
      <xdr:colOff>203200</xdr:colOff>
      <xdr:row>41</xdr:row>
      <xdr:rowOff>50800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B7B771A-83B6-FF08-65CA-EFE15FDA6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76200</xdr:colOff>
      <xdr:row>12</xdr:row>
      <xdr:rowOff>127000</xdr:rowOff>
    </xdr:from>
    <xdr:to>
      <xdr:col>17</xdr:col>
      <xdr:colOff>520700</xdr:colOff>
      <xdr:row>26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79F7F86-2109-A762-2A35-1269361CF3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139700</xdr:colOff>
      <xdr:row>27</xdr:row>
      <xdr:rowOff>127000</xdr:rowOff>
    </xdr:from>
    <xdr:to>
      <xdr:col>11</xdr:col>
      <xdr:colOff>584200</xdr:colOff>
      <xdr:row>41</xdr:row>
      <xdr:rowOff>25400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BA3D39C-2032-05F3-9840-9DC28DC883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07.433994212966" createdVersion="8" refreshedVersion="8" minRefreshableVersion="3" recordCount="15" xr:uid="{6CE92D63-6853-8549-99DD-025691833E85}">
  <cacheSource type="worksheet">
    <worksheetSource name="ProjectData"/>
  </cacheSource>
  <cacheFields count="15">
    <cacheField name="Project ID" numFmtId="0">
      <sharedItems containsBlank="1"/>
    </cacheField>
    <cacheField name="Program" numFmtId="0">
      <sharedItems containsBlank="1" count="6">
        <s v="EOP"/>
        <m/>
        <s v="ETS"/>
        <s v="UB"/>
        <s v="UBMS"/>
        <s v="UMBS" u="1"/>
      </sharedItems>
    </cacheField>
    <cacheField name="Initiative " numFmtId="0">
      <sharedItems containsBlank="1"/>
    </cacheField>
    <cacheField name="Task" numFmtId="0">
      <sharedItems containsBlank="1"/>
    </cacheField>
    <cacheField name="Owner" numFmtId="0">
      <sharedItems containsBlank="1" count="10">
        <s v="Isaiah"/>
        <s v="Mariah"/>
        <s v="Jordan"/>
        <m/>
        <s v="Ralpael "/>
        <s v="Alex"/>
        <s v="Mario"/>
        <s v="Nathan "/>
        <s v="Ashlie"/>
        <s v="Steve"/>
      </sharedItems>
    </cacheField>
    <cacheField name="Start Date" numFmtId="0">
      <sharedItems containsNonDate="0" containsDate="1" containsString="0" containsBlank="1" minDate="2026-01-03T00:00:00" maxDate="2026-05-01T00:00:00"/>
    </cacheField>
    <cacheField name="Due Date" numFmtId="0">
      <sharedItems containsNonDate="0" containsDate="1" containsString="0" containsBlank="1" minDate="2026-03-16T00:00:00" maxDate="2026-05-16T00:00:00"/>
    </cacheField>
    <cacheField name="Status" numFmtId="0">
      <sharedItems containsBlank="1"/>
    </cacheField>
    <cacheField name="Priority " numFmtId="0">
      <sharedItems containsBlank="1"/>
    </cacheField>
    <cacheField name="Risk Level " numFmtId="0">
      <sharedItems containsBlank="1" count="4">
        <s v="Medium"/>
        <s v="Low"/>
        <s v="High"/>
        <m/>
      </sharedItems>
    </cacheField>
    <cacheField name="Compliance Category" numFmtId="0">
      <sharedItems containsBlank="1" count="12">
        <s v="Engagement Requirement "/>
        <s v="Attendance Tracking "/>
        <s v="Communication Logs"/>
        <m/>
        <s v="Outreach Documentation"/>
        <s v="Application Reporting "/>
        <s v="Enrollement Compliance "/>
        <s v="Program Schedueling "/>
        <s v="Instructor Coordination"/>
        <s v="Reporting Accuracy"/>
        <s v="Data Integrity "/>
        <s v="Executive Reporting "/>
      </sharedItems>
    </cacheField>
    <cacheField name="Compliance Status" numFmtId="0">
      <sharedItems containsBlank="1" count="6">
        <s v="Non-Compliant"/>
        <s v="Compliant "/>
        <m/>
        <s v="Non-Compliant " u="1"/>
        <s v="Non Compliant " u="1"/>
        <s v="Non Compliant" u="1"/>
      </sharedItems>
    </cacheField>
    <cacheField name="% Complete" numFmtId="0">
      <sharedItems containsString="0" containsBlank="1" containsNumber="1" minValue="0" maxValue="1"/>
    </cacheField>
    <cacheField name="Day Remaining " numFmtId="0">
      <sharedItems containsString="0" containsBlank="1" containsNumber="1" containsInteger="1" minValue="-10" maxValue="50"/>
    </cacheField>
    <cacheField name="Overdue Flag" numFmtId="0">
      <sharedItems containsBlank="1" count="3">
        <s v="On Track"/>
        <s v="Complete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07.535474074073" createdVersion="8" refreshedVersion="8" minRefreshableVersion="3" recordCount="15" xr:uid="{3D0A7310-E4B0-5B44-8B55-7A1FD354F532}">
  <cacheSource type="worksheet">
    <worksheetSource ref="A2:O17" sheet="Project Data"/>
  </cacheSource>
  <cacheFields count="15">
    <cacheField name="Project ID" numFmtId="0">
      <sharedItems containsBlank="1"/>
    </cacheField>
    <cacheField name="Program" numFmtId="0">
      <sharedItems containsBlank="1"/>
    </cacheField>
    <cacheField name="Initiative " numFmtId="0">
      <sharedItems containsBlank="1"/>
    </cacheField>
    <cacheField name="Task" numFmtId="0">
      <sharedItems containsBlank="1"/>
    </cacheField>
    <cacheField name="Owner" numFmtId="0">
      <sharedItems containsBlank="1"/>
    </cacheField>
    <cacheField name="Start Date" numFmtId="0">
      <sharedItems containsNonDate="0" containsDate="1" containsString="0" containsBlank="1" minDate="2026-01-03T00:00:00" maxDate="2026-05-01T00:00:00"/>
    </cacheField>
    <cacheField name="Due Date" numFmtId="0">
      <sharedItems containsNonDate="0" containsDate="1" containsString="0" containsBlank="1" minDate="2026-03-16T00:00:00" maxDate="2026-05-16T00:00:00"/>
    </cacheField>
    <cacheField name="Status" numFmtId="0">
      <sharedItems containsBlank="1" count="5">
        <s v="In Progress"/>
        <s v="Completed"/>
        <s v="To Do"/>
        <m/>
        <s v="Completed " u="1"/>
      </sharedItems>
    </cacheField>
    <cacheField name="Priority " numFmtId="0">
      <sharedItems containsBlank="1"/>
    </cacheField>
    <cacheField name="Risk Level " numFmtId="0">
      <sharedItems containsBlank="1"/>
    </cacheField>
    <cacheField name="Compliance Category" numFmtId="0">
      <sharedItems containsBlank="1"/>
    </cacheField>
    <cacheField name="Compliance Status" numFmtId="0">
      <sharedItems containsBlank="1"/>
    </cacheField>
    <cacheField name="% Complete" numFmtId="0">
      <sharedItems containsString="0" containsBlank="1" containsNumber="1" minValue="0" maxValue="1"/>
    </cacheField>
    <cacheField name="Day Remaining " numFmtId="0">
      <sharedItems containsString="0" containsBlank="1" containsNumber="1" containsInteger="1" minValue="-10" maxValue="50"/>
    </cacheField>
    <cacheField name="Overdue Fla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P001"/>
    <x v="0"/>
    <s v="Participant Engagement "/>
    <s v="Advisor Meeting  Tracking"/>
    <x v="0"/>
    <d v="2026-03-02T00:00:00"/>
    <d v="2026-05-15T00:00:00"/>
    <s v="In Progress"/>
    <s v="High"/>
    <x v="0"/>
    <x v="0"/>
    <x v="0"/>
    <n v="0.7"/>
    <n v="50"/>
    <x v="0"/>
  </r>
  <r>
    <s v="P001"/>
    <x v="0"/>
    <s v="Participant Engagement "/>
    <s v="Attendance"/>
    <x v="1"/>
    <d v="2026-03-02T00:00:00"/>
    <d v="2026-03-16T00:00:00"/>
    <s v="Completed "/>
    <s v="Low"/>
    <x v="1"/>
    <x v="1"/>
    <x v="1"/>
    <n v="1"/>
    <n v="-10"/>
    <x v="1"/>
  </r>
  <r>
    <s v="P001"/>
    <x v="0"/>
    <s v="Participant Engagement "/>
    <s v="Participant Follow Up Logs"/>
    <x v="2"/>
    <d v="2026-04-01T00:00:00"/>
    <d v="2026-05-01T00:00:00"/>
    <s v="To Do"/>
    <s v="Medium"/>
    <x v="2"/>
    <x v="2"/>
    <x v="0"/>
    <n v="0"/>
    <n v="36"/>
    <x v="0"/>
  </r>
  <r>
    <m/>
    <x v="1"/>
    <m/>
    <m/>
    <x v="3"/>
    <m/>
    <m/>
    <m/>
    <m/>
    <x v="3"/>
    <x v="3"/>
    <x v="2"/>
    <m/>
    <m/>
    <x v="2"/>
  </r>
  <r>
    <s v="P002"/>
    <x v="2"/>
    <s v="Recruitment "/>
    <s v=" High School Visit Tracking"/>
    <x v="1"/>
    <d v="2026-01-03T00:00:00"/>
    <d v="2026-05-15T00:00:00"/>
    <s v="In Progress"/>
    <s v="High"/>
    <x v="1"/>
    <x v="4"/>
    <x v="0"/>
    <n v="0.75"/>
    <n v="50"/>
    <x v="0"/>
  </r>
  <r>
    <s v="P002"/>
    <x v="2"/>
    <s v="Recruitment "/>
    <s v="Application Tracking "/>
    <x v="4"/>
    <d v="2026-01-03T00:00:00"/>
    <d v="2026-05-15T00:00:00"/>
    <s v="In Progress"/>
    <s v="High"/>
    <x v="0"/>
    <x v="5"/>
    <x v="0"/>
    <n v="0.65"/>
    <n v="50"/>
    <x v="0"/>
  </r>
  <r>
    <s v="P002"/>
    <x v="2"/>
    <s v="Recruitment "/>
    <s v="Follow up-Communication"/>
    <x v="5"/>
    <d v="2026-04-30T00:00:00"/>
    <d v="2026-05-15T00:00:00"/>
    <s v="To Do"/>
    <s v="Medium"/>
    <x v="2"/>
    <x v="2"/>
    <x v="0"/>
    <n v="0"/>
    <n v="50"/>
    <x v="0"/>
  </r>
  <r>
    <m/>
    <x v="1"/>
    <m/>
    <m/>
    <x v="3"/>
    <m/>
    <m/>
    <m/>
    <m/>
    <x v="3"/>
    <x v="3"/>
    <x v="2"/>
    <m/>
    <m/>
    <x v="2"/>
  </r>
  <r>
    <s v="P003"/>
    <x v="3"/>
    <s v="Summer Bridge "/>
    <s v="Enrollement Verification"/>
    <x v="0"/>
    <d v="2026-03-16T00:00:00"/>
    <d v="2026-04-15T00:00:00"/>
    <s v="In Progress"/>
    <s v="High"/>
    <x v="0"/>
    <x v="6"/>
    <x v="0"/>
    <n v="0.25"/>
    <n v="20"/>
    <x v="0"/>
  </r>
  <r>
    <s v="P003"/>
    <x v="3"/>
    <s v="Summer Bridge "/>
    <s v="Orientation Schedueling "/>
    <x v="6"/>
    <d v="2026-04-01T00:00:00"/>
    <d v="2026-04-30T00:00:00"/>
    <s v="To Do"/>
    <s v="High"/>
    <x v="0"/>
    <x v="7"/>
    <x v="0"/>
    <n v="0.1"/>
    <n v="35"/>
    <x v="0"/>
  </r>
  <r>
    <s v="P003"/>
    <x v="3"/>
    <s v="Summer Bridge "/>
    <s v="Faculty Cooridnation"/>
    <x v="7"/>
    <d v="2026-03-01T00:00:00"/>
    <d v="2026-03-16T00:00:00"/>
    <s v="Completed"/>
    <s v="High"/>
    <x v="1"/>
    <x v="8"/>
    <x v="1"/>
    <n v="1"/>
    <n v="-10"/>
    <x v="1"/>
  </r>
  <r>
    <m/>
    <x v="1"/>
    <m/>
    <m/>
    <x v="3"/>
    <m/>
    <m/>
    <m/>
    <m/>
    <x v="3"/>
    <x v="3"/>
    <x v="2"/>
    <m/>
    <m/>
    <x v="2"/>
  </r>
  <r>
    <s v="P004"/>
    <x v="4"/>
    <s v="Reporting"/>
    <s v="KPI Dashboard Update"/>
    <x v="0"/>
    <d v="2026-04-01T00:00:00"/>
    <d v="2026-04-24T00:00:00"/>
    <s v="In Progress"/>
    <s v="High"/>
    <x v="0"/>
    <x v="9"/>
    <x v="0"/>
    <n v="0.35"/>
    <n v="29"/>
    <x v="0"/>
  </r>
  <r>
    <s v="P004"/>
    <x v="4"/>
    <s v="Reporting"/>
    <s v="Data Validatiion"/>
    <x v="8"/>
    <d v="2026-04-26T00:00:00"/>
    <d v="2026-05-01T00:00:00"/>
    <s v="To Do"/>
    <s v="High"/>
    <x v="0"/>
    <x v="10"/>
    <x v="0"/>
    <n v="0"/>
    <n v="36"/>
    <x v="0"/>
  </r>
  <r>
    <s v="P004"/>
    <x v="4"/>
    <s v="Reporting"/>
    <s v="Stakeholder Report "/>
    <x v="9"/>
    <d v="2026-04-27T00:00:00"/>
    <d v="2026-05-01T00:00:00"/>
    <s v="In Progress"/>
    <s v="High"/>
    <x v="0"/>
    <x v="11"/>
    <x v="0"/>
    <n v="0.5"/>
    <n v="36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P001"/>
    <s v="EOP"/>
    <s v="Participant Engagement "/>
    <s v="Advisor Meeting  Tracking"/>
    <s v="Isaiah"/>
    <d v="2026-03-02T00:00:00"/>
    <d v="2026-05-15T00:00:00"/>
    <x v="0"/>
    <s v="High"/>
    <s v="Medium"/>
    <s v="Engagement Requirement "/>
    <s v="Non-Compliant"/>
    <n v="0.7"/>
    <n v="50"/>
    <s v="On Track"/>
  </r>
  <r>
    <s v="P001"/>
    <s v="EOP"/>
    <s v="Participant Engagement "/>
    <s v="Attendance"/>
    <s v="Mariah"/>
    <d v="2026-03-02T00:00:00"/>
    <d v="2026-03-16T00:00:00"/>
    <x v="1"/>
    <s v="Low"/>
    <s v="Low"/>
    <s v="Attendance Tracking "/>
    <s v="Compliant"/>
    <n v="1"/>
    <n v="-10"/>
    <s v="Completed"/>
  </r>
  <r>
    <s v="P001"/>
    <s v="EOP"/>
    <s v="Participant Engagement "/>
    <s v="Participant Follow Up Logs"/>
    <s v="Jordan"/>
    <d v="2026-04-01T00:00:00"/>
    <d v="2026-05-01T00:00:00"/>
    <x v="2"/>
    <s v="Medium"/>
    <s v="High"/>
    <s v="Communication Logs"/>
    <s v="Non-Compliant"/>
    <n v="0"/>
    <n v="36"/>
    <s v="On Track"/>
  </r>
  <r>
    <m/>
    <m/>
    <m/>
    <m/>
    <m/>
    <m/>
    <m/>
    <x v="3"/>
    <m/>
    <m/>
    <m/>
    <m/>
    <m/>
    <m/>
    <m/>
  </r>
  <r>
    <s v="P002"/>
    <s v="ETS"/>
    <s v="Recruitment "/>
    <s v=" High School Visit Tracking"/>
    <s v="Mariah"/>
    <d v="2026-01-03T00:00:00"/>
    <d v="2026-05-15T00:00:00"/>
    <x v="0"/>
    <s v="High"/>
    <s v="Low"/>
    <s v="Outreach Documentation"/>
    <s v="Non-Compliant"/>
    <n v="0.75"/>
    <n v="50"/>
    <s v="On Track"/>
  </r>
  <r>
    <s v="P002"/>
    <s v="ETS"/>
    <s v="Recruitment "/>
    <s v="Application Tracking "/>
    <s v="Ralpael "/>
    <d v="2026-01-03T00:00:00"/>
    <d v="2026-05-15T00:00:00"/>
    <x v="0"/>
    <s v="High"/>
    <s v="Medium"/>
    <s v="Application Reporting "/>
    <s v="Non-Compliant"/>
    <n v="0.65"/>
    <n v="50"/>
    <s v="On Track"/>
  </r>
  <r>
    <s v="P002"/>
    <s v="ETS"/>
    <s v="Recruitment "/>
    <s v="Follow up-Communication"/>
    <s v="Alex"/>
    <d v="2026-04-30T00:00:00"/>
    <d v="2026-05-15T00:00:00"/>
    <x v="2"/>
    <s v="Medium"/>
    <s v="High"/>
    <s v="Communication Logs"/>
    <s v="Non-Compliant"/>
    <n v="0"/>
    <n v="50"/>
    <s v="On Track"/>
  </r>
  <r>
    <m/>
    <m/>
    <m/>
    <m/>
    <m/>
    <m/>
    <m/>
    <x v="3"/>
    <m/>
    <m/>
    <m/>
    <m/>
    <m/>
    <m/>
    <m/>
  </r>
  <r>
    <s v="P003"/>
    <s v="UB"/>
    <s v="Summer Bridge "/>
    <s v="Enrollement Verification"/>
    <s v="Isaiah"/>
    <d v="2026-03-16T00:00:00"/>
    <d v="2026-04-15T00:00:00"/>
    <x v="0"/>
    <s v="High"/>
    <s v="Medium"/>
    <s v="Enrollement Compliance "/>
    <s v="Non-Compliant"/>
    <n v="0.25"/>
    <n v="20"/>
    <s v="On Track"/>
  </r>
  <r>
    <s v="P003"/>
    <s v="UB"/>
    <s v="Summer Bridge "/>
    <s v="Orientation Schedueling "/>
    <s v="Mario"/>
    <d v="2026-04-01T00:00:00"/>
    <d v="2026-04-30T00:00:00"/>
    <x v="2"/>
    <s v="High"/>
    <s v="Medium"/>
    <s v="Program Schedueling "/>
    <s v="Non-Compliant"/>
    <n v="0.1"/>
    <n v="35"/>
    <s v="On Track"/>
  </r>
  <r>
    <s v="P003"/>
    <s v="UB"/>
    <s v="Summer Bridge "/>
    <s v="Faculty Cooridnation"/>
    <s v="Nathan "/>
    <d v="2026-03-01T00:00:00"/>
    <d v="2026-03-16T00:00:00"/>
    <x v="1"/>
    <s v="High"/>
    <s v="Low"/>
    <s v="Instructor Coordination"/>
    <s v="Compliant"/>
    <n v="1"/>
    <n v="-10"/>
    <s v="Completed"/>
  </r>
  <r>
    <m/>
    <m/>
    <m/>
    <m/>
    <m/>
    <m/>
    <m/>
    <x v="3"/>
    <m/>
    <m/>
    <m/>
    <m/>
    <m/>
    <m/>
    <m/>
  </r>
  <r>
    <s v="P004"/>
    <s v="UBMS"/>
    <s v="Reporting"/>
    <s v="KPI Dashboard Update"/>
    <s v="Isaiah"/>
    <d v="2026-04-01T00:00:00"/>
    <d v="2026-04-24T00:00:00"/>
    <x v="0"/>
    <s v="High"/>
    <s v="Medium"/>
    <s v="Reporting Accuracy"/>
    <s v="Non-Compliant"/>
    <n v="0.35"/>
    <n v="29"/>
    <s v="On Track"/>
  </r>
  <r>
    <s v="P004"/>
    <s v="UBMS"/>
    <s v="Reporting"/>
    <s v="Data Validatiion"/>
    <s v="Ashlie"/>
    <d v="2026-04-26T00:00:00"/>
    <d v="2026-05-01T00:00:00"/>
    <x v="2"/>
    <s v="High"/>
    <s v="Medium"/>
    <s v="Data Integrity "/>
    <s v="Non-Compliant"/>
    <n v="0"/>
    <n v="36"/>
    <s v="On Track"/>
  </r>
  <r>
    <s v="P004"/>
    <s v="UBMS"/>
    <s v="Reporting"/>
    <s v="Stakeholder Report "/>
    <s v="Steve"/>
    <d v="2026-04-27T00:00:00"/>
    <d v="2026-05-01T00:00:00"/>
    <x v="0"/>
    <s v="High"/>
    <s v="Medium"/>
    <s v="Executive Reporting "/>
    <s v="Non-Compliant"/>
    <n v="0.5"/>
    <n v="36"/>
    <s v="On Trac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0BA458-A4DC-8842-B81E-178D8D2277E7}" name="PivotTable14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3:E6" firstHeaderRow="1" firstDataRow="1" firstDataCol="1"/>
  <pivotFields count="15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3">
        <item x="5"/>
        <item x="1"/>
        <item x="2"/>
        <item x="10"/>
        <item x="0"/>
        <item x="6"/>
        <item x="11"/>
        <item x="8"/>
        <item x="4"/>
        <item x="7"/>
        <item x="9"/>
        <item x="3"/>
        <item t="default"/>
      </items>
    </pivotField>
    <pivotField axis="axisRow" showAll="0">
      <items count="7">
        <item x="1"/>
        <item m="1" x="5"/>
        <item m="1" x="4"/>
        <item x="0"/>
        <item m="1" x="3"/>
        <item h="1" x="2"/>
        <item t="default"/>
      </items>
    </pivotField>
    <pivotField showAll="0"/>
    <pivotField showAll="0"/>
    <pivotField showAll="0"/>
  </pivotFields>
  <rowFields count="1">
    <field x="11"/>
  </rowFields>
  <rowItems count="3">
    <i>
      <x/>
    </i>
    <i>
      <x v="3"/>
    </i>
    <i t="grand">
      <x/>
    </i>
  </rowItems>
  <colItems count="1">
    <i/>
  </colItems>
  <dataFields count="1">
    <dataField name="Count of Task" fld="3" subtotal="count" baseField="0" baseItem="0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DC1A8D-D0B6-C841-AEC7-05B76BCCA8A0}" name="PivotTable12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8:G24" firstHeaderRow="1" firstDataRow="2" firstDataCol="1"/>
  <pivotFields count="15">
    <pivotField showAll="0"/>
    <pivotField axis="axisRow" showAll="0">
      <items count="7">
        <item x="0"/>
        <item x="2"/>
        <item x="3"/>
        <item x="4"/>
        <item m="1" x="5"/>
        <item h="1"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1"/>
        <item m="1" x="5"/>
        <item m="1" x="4"/>
        <item h="1" x="2"/>
        <item m="1" x="3"/>
        <item x="0"/>
        <item t="default"/>
      </items>
    </pivotField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3">
    <i>
      <x/>
    </i>
    <i>
      <x v="5"/>
    </i>
    <i t="grand">
      <x/>
    </i>
  </colItems>
  <dataFields count="1">
    <dataField name="Count of Task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CF7215-1694-7549-9965-D197943B63F9}" name="PivotTable11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G10:H15" firstHeaderRow="1" firstDataRow="1" firstDataCol="1"/>
  <pivotFields count="15">
    <pivotField showAll="0"/>
    <pivotField axis="axisRow" showAll="0">
      <items count="7">
        <item x="0"/>
        <item x="2"/>
        <item x="3"/>
        <item x="4"/>
        <item m="1" x="5"/>
        <item h="1"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ask" fld="3" subtotal="count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80ABB4-681F-4E4E-9BDA-198E95AD177E}" name="PivotTable8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0:E13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1"/>
        <item x="0"/>
        <item h="1" x="2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Sum of % Complete" fld="12" baseField="0" baseItem="0"/>
  </dataFields>
  <formats count="2">
    <format dxfId="1">
      <pivotArea collapsedLevelsAreSubtotals="1" fieldPosition="0">
        <references count="1">
          <reference field="14" count="1">
            <x v="0"/>
          </reference>
        </references>
      </pivotArea>
    </format>
    <format dxfId="0">
      <pivotArea collapsedLevelsAreSubtotals="1" fieldPosition="0">
        <references count="1">
          <reference field="1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054DF9-6712-D043-82BB-FC240E8B45B5}" name="PivotTable7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0:B20" firstHeaderRow="1" firstDataRow="1" firstDataCol="1"/>
  <pivotFields count="15">
    <pivotField showAll="0"/>
    <pivotField showAll="0"/>
    <pivotField showAll="0"/>
    <pivotField dataField="1" showAll="0"/>
    <pivotField axis="axisRow" showAll="0">
      <items count="11">
        <item x="5"/>
        <item x="8"/>
        <item x="0"/>
        <item x="2"/>
        <item x="1"/>
        <item x="6"/>
        <item x="7"/>
        <item x="4"/>
        <item x="9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Task" fld="3" subtotal="count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EA9835-35EA-0C44-A0B2-13A91DA900D1}" name="PivotTable6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3:H7" firstHeaderRow="1" firstDataRow="1" firstDataCol="1"/>
  <pivotFields count="15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ask" fld="3" subtotal="count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E942D-8459-C444-ACED-E76FC0C6D6C2}" name="PivotTable1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15"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">
        <item x="1"/>
        <item m="1" x="4"/>
        <item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Count of Task" fld="3" subtotal="count" baseField="0" baseItem="0"/>
  </dataField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D292FF-504B-2046-8C54-8135F8E2134F}" name="ProjectData" displayName="ProjectData" ref="A2:O17" totalsRowShown="0">
  <autoFilter ref="A2:O17" xr:uid="{F2D292FF-504B-2046-8C54-8135F8E2134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4F5CB6F3-5F55-2443-A9B5-495ACFBF44AC}" name="Project ID"/>
    <tableColumn id="2" xr3:uid="{BD829B5C-E390-9F42-8861-C21CF5C21F84}" name="Program"/>
    <tableColumn id="3" xr3:uid="{92859D92-312A-C84E-9FCA-8759AA302043}" name="Initiative "/>
    <tableColumn id="4" xr3:uid="{3D209B05-E963-A94C-8EE5-AC2F9606F81D}" name="Task"/>
    <tableColumn id="5" xr3:uid="{83A906B3-2AC5-B241-AB10-3811115BEE7A}" name="Owner"/>
    <tableColumn id="6" xr3:uid="{0FEEB1BF-5225-0A47-91E0-77264246309D}" name="Start Date" dataDxfId="5"/>
    <tableColumn id="7" xr3:uid="{2F2D7A4B-CA23-9742-B773-DC1ED67E82F8}" name="Due Date" dataDxfId="4"/>
    <tableColumn id="8" xr3:uid="{FB397414-52E7-1C44-A209-7F752599626B}" name="Status"/>
    <tableColumn id="9" xr3:uid="{4522867E-F5A0-3F4A-8025-C63E0CF667E4}" name="Priority "/>
    <tableColumn id="10" xr3:uid="{5EDE9C22-5674-614E-BE56-50606C3B8393}" name="Risk Level "/>
    <tableColumn id="11" xr3:uid="{13436985-6FF0-C045-A5F8-6071B8D7BFC6}" name="Compliance Category"/>
    <tableColumn id="12" xr3:uid="{7EB029C1-C884-0349-9525-6D359B781C86}" name="Compliance Status"/>
    <tableColumn id="13" xr3:uid="{08FF485C-184E-E847-929B-C96242D2ECE0}" name="% Complete" dataDxfId="3"/>
    <tableColumn id="14" xr3:uid="{76E28E33-90D4-C544-ACD8-57B1779EA261}" name="Day Remaining ">
      <calculatedColumnFormula>G3-TODAY()</calculatedColumnFormula>
    </tableColumn>
    <tableColumn id="15" xr3:uid="{B00023BA-C63C-AE47-831F-8C445CEF23F8}" name="Overdue Flag" dataDxfId="2">
      <calculatedColumnFormula>IF(TRIM(H3)="Completed","Completed",IF(INT(G3)&lt;TODAY(),"Overdue","On Track"))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96A1A-ADFB-5B46-809A-86491954A735}">
  <dimension ref="A2:O26"/>
  <sheetViews>
    <sheetView tabSelected="1" zoomScale="85" workbookViewId="0">
      <selection activeCell="H13" sqref="H13"/>
    </sheetView>
  </sheetViews>
  <sheetFormatPr baseColWidth="10" defaultRowHeight="16" x14ac:dyDescent="0.2"/>
  <cols>
    <col min="1" max="1" width="11.33203125" customWidth="1"/>
    <col min="3" max="3" width="20.83203125" bestFit="1" customWidth="1"/>
    <col min="4" max="4" width="22.83203125" bestFit="1" customWidth="1"/>
    <col min="6" max="6" width="11.33203125" customWidth="1"/>
    <col min="10" max="10" width="12.33203125" customWidth="1"/>
    <col min="11" max="11" width="22.5" bestFit="1" customWidth="1"/>
    <col min="12" max="12" width="18.83203125" customWidth="1"/>
    <col min="13" max="13" width="13.33203125" customWidth="1"/>
    <col min="14" max="14" width="16" customWidth="1"/>
    <col min="15" max="15" width="14.1640625" customWidth="1"/>
  </cols>
  <sheetData>
    <row r="2" spans="1:15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65</v>
      </c>
      <c r="O2" t="s">
        <v>66</v>
      </c>
    </row>
    <row r="3" spans="1:15" ht="19" x14ac:dyDescent="0.25">
      <c r="A3" t="s">
        <v>13</v>
      </c>
      <c r="B3" t="s">
        <v>14</v>
      </c>
      <c r="C3" t="s">
        <v>15</v>
      </c>
      <c r="D3" t="s">
        <v>16</v>
      </c>
      <c r="E3" t="s">
        <v>18</v>
      </c>
      <c r="F3" s="1">
        <v>46083</v>
      </c>
      <c r="G3" s="1">
        <v>46157</v>
      </c>
      <c r="H3" t="s">
        <v>22</v>
      </c>
      <c r="I3" t="s">
        <v>24</v>
      </c>
      <c r="J3" t="s">
        <v>26</v>
      </c>
      <c r="K3" t="s">
        <v>28</v>
      </c>
      <c r="L3" t="s">
        <v>73</v>
      </c>
      <c r="M3" s="3">
        <v>0.7</v>
      </c>
      <c r="N3">
        <f ca="1">G3-TODAY()</f>
        <v>50</v>
      </c>
      <c r="O3" s="4" t="str">
        <f ca="1">IF(TRIM(H3)="Completed","Completed",IF(INT(G3)&lt;TODAY(),"Overdue","On Track"))</f>
        <v>On Track</v>
      </c>
    </row>
    <row r="4" spans="1:15" ht="19" x14ac:dyDescent="0.25">
      <c r="A4" t="s">
        <v>13</v>
      </c>
      <c r="B4" t="s">
        <v>14</v>
      </c>
      <c r="C4" t="s">
        <v>15</v>
      </c>
      <c r="D4" t="s">
        <v>17</v>
      </c>
      <c r="E4" t="s">
        <v>19</v>
      </c>
      <c r="F4" s="1">
        <v>46083</v>
      </c>
      <c r="G4" s="1">
        <v>46097</v>
      </c>
      <c r="H4" t="s">
        <v>67</v>
      </c>
      <c r="I4" t="s">
        <v>25</v>
      </c>
      <c r="J4" t="s">
        <v>25</v>
      </c>
      <c r="K4" t="s">
        <v>29</v>
      </c>
      <c r="L4" t="s">
        <v>79</v>
      </c>
      <c r="M4" s="3">
        <v>1</v>
      </c>
      <c r="N4">
        <f ca="1">G4-TODAY()</f>
        <v>-10</v>
      </c>
      <c r="O4" s="4" t="str">
        <f ca="1">IF(TRIM(H4)="Completed","Completed",IF(INT(G4)&lt;TODAY(),"Overdue","On Track"))</f>
        <v>Completed</v>
      </c>
    </row>
    <row r="5" spans="1:15" ht="19" x14ac:dyDescent="0.25">
      <c r="A5" t="s">
        <v>13</v>
      </c>
      <c r="B5" t="s">
        <v>14</v>
      </c>
      <c r="C5" t="s">
        <v>15</v>
      </c>
      <c r="D5" t="s">
        <v>21</v>
      </c>
      <c r="E5" t="s">
        <v>20</v>
      </c>
      <c r="F5" s="1">
        <v>46113</v>
      </c>
      <c r="G5" s="2">
        <v>46143</v>
      </c>
      <c r="H5" t="s">
        <v>23</v>
      </c>
      <c r="I5" t="s">
        <v>26</v>
      </c>
      <c r="J5" t="s">
        <v>24</v>
      </c>
      <c r="K5" t="s">
        <v>30</v>
      </c>
      <c r="L5" t="s">
        <v>73</v>
      </c>
      <c r="M5" s="3">
        <v>0</v>
      </c>
      <c r="N5">
        <f ca="1">G5-TODAY()</f>
        <v>36</v>
      </c>
      <c r="O5" s="4" t="str">
        <f ca="1">IF(TRIM(H5)="Completed","Completed",IF(INT(G5)&lt;TODAY(),"Overdue","On Track"))</f>
        <v>On Track</v>
      </c>
    </row>
    <row r="6" spans="1:15" ht="19" x14ac:dyDescent="0.25">
      <c r="O6" s="4"/>
    </row>
    <row r="7" spans="1:15" ht="19" x14ac:dyDescent="0.25">
      <c r="A7" t="s">
        <v>31</v>
      </c>
      <c r="B7" t="s">
        <v>32</v>
      </c>
      <c r="C7" t="s">
        <v>33</v>
      </c>
      <c r="D7" t="s">
        <v>38</v>
      </c>
      <c r="E7" t="s">
        <v>19</v>
      </c>
      <c r="F7" s="1">
        <v>46025</v>
      </c>
      <c r="G7" s="1">
        <v>46157</v>
      </c>
      <c r="H7" t="s">
        <v>22</v>
      </c>
      <c r="I7" t="s">
        <v>24</v>
      </c>
      <c r="J7" t="s">
        <v>25</v>
      </c>
      <c r="K7" t="s">
        <v>39</v>
      </c>
      <c r="L7" t="s">
        <v>73</v>
      </c>
      <c r="M7" s="3">
        <v>0.75</v>
      </c>
      <c r="N7">
        <f ca="1">G7-TODAY()</f>
        <v>50</v>
      </c>
      <c r="O7" s="4" t="str">
        <f ca="1">IF(TRIM(H7)="Completed","Completed",IF(INT(G7)&lt;TODAY(),"Overdue","On Track"))</f>
        <v>On Track</v>
      </c>
    </row>
    <row r="8" spans="1:15" ht="19" x14ac:dyDescent="0.25">
      <c r="A8" t="s">
        <v>31</v>
      </c>
      <c r="B8" t="s">
        <v>32</v>
      </c>
      <c r="C8" t="s">
        <v>33</v>
      </c>
      <c r="D8" t="s">
        <v>36</v>
      </c>
      <c r="E8" t="s">
        <v>34</v>
      </c>
      <c r="F8" s="1">
        <v>46025</v>
      </c>
      <c r="G8" s="1">
        <v>46157</v>
      </c>
      <c r="H8" t="s">
        <v>22</v>
      </c>
      <c r="I8" t="s">
        <v>24</v>
      </c>
      <c r="J8" t="s">
        <v>26</v>
      </c>
      <c r="K8" t="s">
        <v>40</v>
      </c>
      <c r="L8" t="s">
        <v>73</v>
      </c>
      <c r="M8" s="3">
        <v>0.65</v>
      </c>
      <c r="N8">
        <f ca="1">G8-TODAY()</f>
        <v>50</v>
      </c>
      <c r="O8" s="4" t="str">
        <f ca="1">IF(TRIM(H8)="Completed","Completed",IF(INT(G8)&lt;TODAY(),"Overdue","On Track"))</f>
        <v>On Track</v>
      </c>
    </row>
    <row r="9" spans="1:15" ht="19" x14ac:dyDescent="0.25">
      <c r="A9" t="s">
        <v>31</v>
      </c>
      <c r="B9" t="s">
        <v>32</v>
      </c>
      <c r="C9" t="s">
        <v>33</v>
      </c>
      <c r="D9" t="s">
        <v>37</v>
      </c>
      <c r="E9" t="s">
        <v>35</v>
      </c>
      <c r="F9" s="1">
        <v>46142</v>
      </c>
      <c r="G9" s="1">
        <v>46157</v>
      </c>
      <c r="H9" t="s">
        <v>23</v>
      </c>
      <c r="I9" t="s">
        <v>26</v>
      </c>
      <c r="J9" t="s">
        <v>24</v>
      </c>
      <c r="K9" t="s">
        <v>41</v>
      </c>
      <c r="L9" t="s">
        <v>73</v>
      </c>
      <c r="M9" s="3">
        <v>0</v>
      </c>
      <c r="N9">
        <f ca="1">G9-TODAY()</f>
        <v>50</v>
      </c>
      <c r="O9" s="4" t="str">
        <f ca="1">IF(TRIM(H9)="Completed","Completed",IF(INT(G9)&lt;TODAY(),"Overdue","On Track"))</f>
        <v>On Track</v>
      </c>
    </row>
    <row r="10" spans="1:15" ht="19" x14ac:dyDescent="0.25">
      <c r="O10" s="4"/>
    </row>
    <row r="11" spans="1:15" ht="19" x14ac:dyDescent="0.25">
      <c r="A11" t="s">
        <v>42</v>
      </c>
      <c r="B11" t="s">
        <v>43</v>
      </c>
      <c r="C11" t="s">
        <v>44</v>
      </c>
      <c r="D11" t="s">
        <v>45</v>
      </c>
      <c r="E11" t="s">
        <v>18</v>
      </c>
      <c r="F11" s="1">
        <v>46097</v>
      </c>
      <c r="G11" s="1">
        <v>46127</v>
      </c>
      <c r="H11" t="s">
        <v>22</v>
      </c>
      <c r="I11" t="s">
        <v>24</v>
      </c>
      <c r="J11" t="s">
        <v>26</v>
      </c>
      <c r="K11" t="s">
        <v>50</v>
      </c>
      <c r="L11" t="s">
        <v>73</v>
      </c>
      <c r="M11" s="3">
        <v>0.25</v>
      </c>
      <c r="N11">
        <f ca="1">G11-TODAY()</f>
        <v>20</v>
      </c>
      <c r="O11" s="4" t="str">
        <f ca="1">IF(TRIM(H11)="Completed","Completed",IF(INT(G11)&lt;TODAY(),"Overdue","On Track"))</f>
        <v>On Track</v>
      </c>
    </row>
    <row r="12" spans="1:15" ht="19" x14ac:dyDescent="0.25">
      <c r="A12" t="s">
        <v>42</v>
      </c>
      <c r="B12" t="s">
        <v>43</v>
      </c>
      <c r="C12" t="s">
        <v>44</v>
      </c>
      <c r="D12" t="s">
        <v>46</v>
      </c>
      <c r="E12" t="s">
        <v>48</v>
      </c>
      <c r="F12" s="1">
        <v>46113</v>
      </c>
      <c r="G12" s="1">
        <v>46142</v>
      </c>
      <c r="H12" t="s">
        <v>23</v>
      </c>
      <c r="I12" t="s">
        <v>24</v>
      </c>
      <c r="J12" t="s">
        <v>26</v>
      </c>
      <c r="K12" t="s">
        <v>51</v>
      </c>
      <c r="L12" t="s">
        <v>73</v>
      </c>
      <c r="M12" s="3">
        <v>0.1</v>
      </c>
      <c r="N12">
        <f ca="1">G12-TODAY()</f>
        <v>35</v>
      </c>
      <c r="O12" s="4" t="str">
        <f ca="1">IF(TRIM(H12)="Completed","Completed",IF(INT(G12)&lt;TODAY(),"Overdue","On Track"))</f>
        <v>On Track</v>
      </c>
    </row>
    <row r="13" spans="1:15" ht="19" x14ac:dyDescent="0.25">
      <c r="A13" t="s">
        <v>42</v>
      </c>
      <c r="B13" t="s">
        <v>43</v>
      </c>
      <c r="C13" t="s">
        <v>44</v>
      </c>
      <c r="D13" t="s">
        <v>47</v>
      </c>
      <c r="E13" t="s">
        <v>49</v>
      </c>
      <c r="F13" s="1">
        <v>46082</v>
      </c>
      <c r="G13" s="1">
        <v>46097</v>
      </c>
      <c r="H13" t="s">
        <v>67</v>
      </c>
      <c r="I13" t="s">
        <v>24</v>
      </c>
      <c r="J13" t="s">
        <v>25</v>
      </c>
      <c r="K13" t="s">
        <v>52</v>
      </c>
      <c r="L13" t="s">
        <v>79</v>
      </c>
      <c r="M13" s="3">
        <v>1</v>
      </c>
      <c r="N13">
        <f ca="1">G13-TODAY()</f>
        <v>-10</v>
      </c>
      <c r="O13" s="4" t="str">
        <f ca="1">IF(TRIM(H13)="Completed","Completed",IF(INT(G13)&lt;TODAY(),"Overdue","On Track"))</f>
        <v>Completed</v>
      </c>
    </row>
    <row r="14" spans="1:15" ht="19" x14ac:dyDescent="0.25">
      <c r="O14" s="4"/>
    </row>
    <row r="15" spans="1:15" ht="19" x14ac:dyDescent="0.25">
      <c r="A15" t="s">
        <v>53</v>
      </c>
      <c r="B15" t="s">
        <v>54</v>
      </c>
      <c r="C15" t="s">
        <v>55</v>
      </c>
      <c r="D15" t="s">
        <v>56</v>
      </c>
      <c r="E15" t="s">
        <v>18</v>
      </c>
      <c r="F15" s="1">
        <v>46113</v>
      </c>
      <c r="G15" s="1">
        <v>46136</v>
      </c>
      <c r="H15" t="s">
        <v>22</v>
      </c>
      <c r="I15" t="s">
        <v>24</v>
      </c>
      <c r="J15" t="s">
        <v>26</v>
      </c>
      <c r="K15" t="s">
        <v>62</v>
      </c>
      <c r="L15" t="s">
        <v>73</v>
      </c>
      <c r="M15" s="3">
        <v>0.35</v>
      </c>
      <c r="N15">
        <f ca="1">G15-TODAY()</f>
        <v>29</v>
      </c>
      <c r="O15" s="4" t="str">
        <f ca="1">IF(TRIM(H15)="Completed","Completed",IF(INT(G15)&lt;TODAY(),"Overdue","On Track"))</f>
        <v>On Track</v>
      </c>
    </row>
    <row r="16" spans="1:15" ht="19" x14ac:dyDescent="0.25">
      <c r="A16" t="s">
        <v>53</v>
      </c>
      <c r="B16" t="s">
        <v>54</v>
      </c>
      <c r="C16" t="s">
        <v>55</v>
      </c>
      <c r="D16" t="s">
        <v>57</v>
      </c>
      <c r="E16" t="s">
        <v>59</v>
      </c>
      <c r="F16" s="1">
        <v>46138</v>
      </c>
      <c r="G16" s="1">
        <v>46143</v>
      </c>
      <c r="H16" t="s">
        <v>61</v>
      </c>
      <c r="I16" t="s">
        <v>24</v>
      </c>
      <c r="J16" t="s">
        <v>26</v>
      </c>
      <c r="K16" t="s">
        <v>63</v>
      </c>
      <c r="L16" t="s">
        <v>73</v>
      </c>
      <c r="M16" s="3">
        <v>0</v>
      </c>
      <c r="N16">
        <f ca="1">G16-TODAY()</f>
        <v>36</v>
      </c>
      <c r="O16" s="4" t="str">
        <f ca="1">IF(TRIM(H16)="Completed","Completed",IF(INT(G16)&lt;TODAY(),"Overdue","On Track"))</f>
        <v>On Track</v>
      </c>
    </row>
    <row r="17" spans="1:15" ht="19" x14ac:dyDescent="0.25">
      <c r="A17" t="s">
        <v>53</v>
      </c>
      <c r="B17" t="s">
        <v>54</v>
      </c>
      <c r="C17" t="s">
        <v>55</v>
      </c>
      <c r="D17" t="s">
        <v>58</v>
      </c>
      <c r="E17" t="s">
        <v>60</v>
      </c>
      <c r="F17" s="1">
        <v>46139</v>
      </c>
      <c r="G17" s="1">
        <v>46143</v>
      </c>
      <c r="H17" t="s">
        <v>22</v>
      </c>
      <c r="I17" t="s">
        <v>24</v>
      </c>
      <c r="J17" t="s">
        <v>26</v>
      </c>
      <c r="K17" t="s">
        <v>64</v>
      </c>
      <c r="L17" t="s">
        <v>73</v>
      </c>
      <c r="M17" s="3">
        <v>0.5</v>
      </c>
      <c r="N17">
        <f ca="1">G17-TODAY()</f>
        <v>36</v>
      </c>
      <c r="O17" s="4" t="str">
        <f ca="1">IF(TRIM(H17)="Completed","Completed",IF(INT(G17)&lt;TODAY(),"Overdue","On Track"))</f>
        <v>On Track</v>
      </c>
    </row>
    <row r="21" spans="1:15" x14ac:dyDescent="0.2">
      <c r="I21" s="1"/>
    </row>
    <row r="23" spans="1:15" x14ac:dyDescent="0.2">
      <c r="G23" s="1"/>
    </row>
    <row r="24" spans="1:15" x14ac:dyDescent="0.2">
      <c r="K24" s="1"/>
    </row>
    <row r="26" spans="1:15" x14ac:dyDescent="0.2">
      <c r="M26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2DDE0-1745-A94D-8618-29872FE8848A}">
  <dimension ref="A3:H24"/>
  <sheetViews>
    <sheetView workbookViewId="0">
      <selection activeCell="G10" sqref="G10"/>
    </sheetView>
  </sheetViews>
  <sheetFormatPr baseColWidth="10" defaultRowHeight="16" x14ac:dyDescent="0.2"/>
  <cols>
    <col min="1" max="1" width="13" bestFit="1" customWidth="1"/>
    <col min="2" max="2" width="12.33203125" bestFit="1" customWidth="1"/>
    <col min="3" max="3" width="13.6640625" bestFit="1" customWidth="1"/>
    <col min="4" max="4" width="13" bestFit="1" customWidth="1"/>
    <col min="5" max="6" width="17.33203125" bestFit="1" customWidth="1"/>
    <col min="7" max="7" width="10.5" bestFit="1" customWidth="1"/>
    <col min="8" max="8" width="12.33203125" bestFit="1" customWidth="1"/>
    <col min="9" max="9" width="10.5" bestFit="1" customWidth="1"/>
    <col min="10" max="10" width="13.6640625" bestFit="1" customWidth="1"/>
    <col min="11" max="11" width="12.33203125" bestFit="1" customWidth="1"/>
  </cols>
  <sheetData>
    <row r="3" spans="1:8" x14ac:dyDescent="0.2">
      <c r="A3" s="5" t="s">
        <v>68</v>
      </c>
      <c r="B3" t="s">
        <v>70</v>
      </c>
      <c r="D3" s="5" t="s">
        <v>68</v>
      </c>
      <c r="E3" t="s">
        <v>70</v>
      </c>
      <c r="G3" s="5" t="s">
        <v>68</v>
      </c>
      <c r="H3" t="s">
        <v>70</v>
      </c>
    </row>
    <row r="4" spans="1:8" x14ac:dyDescent="0.2">
      <c r="A4" s="6" t="s">
        <v>67</v>
      </c>
      <c r="B4" s="7">
        <v>2</v>
      </c>
      <c r="D4" s="6" t="s">
        <v>27</v>
      </c>
      <c r="E4" s="7">
        <v>2</v>
      </c>
      <c r="G4" s="6" t="s">
        <v>24</v>
      </c>
      <c r="H4" s="7">
        <v>2</v>
      </c>
    </row>
    <row r="5" spans="1:8" x14ac:dyDescent="0.2">
      <c r="A5" s="6" t="s">
        <v>22</v>
      </c>
      <c r="B5" s="7">
        <v>6</v>
      </c>
      <c r="D5" s="6" t="s">
        <v>73</v>
      </c>
      <c r="E5" s="7">
        <v>10</v>
      </c>
      <c r="G5" s="6" t="s">
        <v>25</v>
      </c>
      <c r="H5" s="7">
        <v>3</v>
      </c>
    </row>
    <row r="6" spans="1:8" x14ac:dyDescent="0.2">
      <c r="A6" s="6" t="s">
        <v>23</v>
      </c>
      <c r="B6" s="7">
        <v>4</v>
      </c>
      <c r="D6" s="6" t="s">
        <v>69</v>
      </c>
      <c r="E6" s="7">
        <v>12</v>
      </c>
      <c r="G6" s="6" t="s">
        <v>26</v>
      </c>
      <c r="H6" s="7">
        <v>7</v>
      </c>
    </row>
    <row r="7" spans="1:8" x14ac:dyDescent="0.2">
      <c r="A7" s="6" t="s">
        <v>69</v>
      </c>
      <c r="B7" s="7">
        <v>12</v>
      </c>
      <c r="G7" s="6" t="s">
        <v>69</v>
      </c>
      <c r="H7" s="7">
        <v>12</v>
      </c>
    </row>
    <row r="10" spans="1:8" x14ac:dyDescent="0.2">
      <c r="A10" s="5" t="s">
        <v>68</v>
      </c>
      <c r="B10" t="s">
        <v>70</v>
      </c>
      <c r="D10" s="5" t="s">
        <v>68</v>
      </c>
      <c r="E10" t="s">
        <v>80</v>
      </c>
      <c r="G10" s="5" t="s">
        <v>68</v>
      </c>
      <c r="H10" t="s">
        <v>70</v>
      </c>
    </row>
    <row r="11" spans="1:8" x14ac:dyDescent="0.2">
      <c r="A11" s="6" t="s">
        <v>35</v>
      </c>
      <c r="B11" s="7">
        <v>1</v>
      </c>
      <c r="D11" s="6" t="s">
        <v>67</v>
      </c>
      <c r="E11" s="3">
        <v>2</v>
      </c>
      <c r="G11" s="6" t="s">
        <v>14</v>
      </c>
      <c r="H11" s="7">
        <v>3</v>
      </c>
    </row>
    <row r="12" spans="1:8" x14ac:dyDescent="0.2">
      <c r="A12" s="6" t="s">
        <v>59</v>
      </c>
      <c r="B12" s="7">
        <v>1</v>
      </c>
      <c r="D12" s="6" t="s">
        <v>71</v>
      </c>
      <c r="E12" s="3">
        <v>3.3000000000000003</v>
      </c>
      <c r="G12" s="6" t="s">
        <v>32</v>
      </c>
      <c r="H12" s="7">
        <v>3</v>
      </c>
    </row>
    <row r="13" spans="1:8" x14ac:dyDescent="0.2">
      <c r="A13" s="6" t="s">
        <v>18</v>
      </c>
      <c r="B13" s="7">
        <v>3</v>
      </c>
      <c r="D13" s="6" t="s">
        <v>69</v>
      </c>
      <c r="E13" s="7">
        <v>5.3000000000000007</v>
      </c>
      <c r="G13" s="6" t="s">
        <v>43</v>
      </c>
      <c r="H13" s="7">
        <v>3</v>
      </c>
    </row>
    <row r="14" spans="1:8" x14ac:dyDescent="0.2">
      <c r="A14" s="6" t="s">
        <v>20</v>
      </c>
      <c r="B14" s="7">
        <v>1</v>
      </c>
      <c r="G14" s="6" t="s">
        <v>54</v>
      </c>
      <c r="H14" s="7">
        <v>3</v>
      </c>
    </row>
    <row r="15" spans="1:8" x14ac:dyDescent="0.2">
      <c r="A15" s="6" t="s">
        <v>19</v>
      </c>
      <c r="B15" s="7">
        <v>2</v>
      </c>
      <c r="G15" s="6" t="s">
        <v>69</v>
      </c>
      <c r="H15" s="7">
        <v>12</v>
      </c>
    </row>
    <row r="16" spans="1:8" x14ac:dyDescent="0.2">
      <c r="A16" s="6" t="s">
        <v>48</v>
      </c>
      <c r="B16" s="7">
        <v>1</v>
      </c>
    </row>
    <row r="17" spans="1:7" x14ac:dyDescent="0.2">
      <c r="A17" s="6" t="s">
        <v>49</v>
      </c>
      <c r="B17" s="7">
        <v>1</v>
      </c>
    </row>
    <row r="18" spans="1:7" x14ac:dyDescent="0.2">
      <c r="A18" s="6" t="s">
        <v>34</v>
      </c>
      <c r="B18" s="7">
        <v>1</v>
      </c>
      <c r="D18" s="5" t="s">
        <v>70</v>
      </c>
      <c r="E18" s="5" t="s">
        <v>72</v>
      </c>
    </row>
    <row r="19" spans="1:7" x14ac:dyDescent="0.2">
      <c r="A19" s="6" t="s">
        <v>60</v>
      </c>
      <c r="B19" s="7">
        <v>1</v>
      </c>
      <c r="D19" s="5" t="s">
        <v>68</v>
      </c>
      <c r="E19" t="s">
        <v>27</v>
      </c>
      <c r="F19" t="s">
        <v>73</v>
      </c>
      <c r="G19" t="s">
        <v>69</v>
      </c>
    </row>
    <row r="20" spans="1:7" x14ac:dyDescent="0.2">
      <c r="A20" s="6" t="s">
        <v>69</v>
      </c>
      <c r="B20" s="7">
        <v>12</v>
      </c>
      <c r="D20" s="6" t="s">
        <v>14</v>
      </c>
      <c r="E20" s="7">
        <v>1</v>
      </c>
      <c r="F20" s="7">
        <v>2</v>
      </c>
      <c r="G20" s="7">
        <v>3</v>
      </c>
    </row>
    <row r="21" spans="1:7" x14ac:dyDescent="0.2">
      <c r="D21" s="6" t="s">
        <v>32</v>
      </c>
      <c r="E21" s="7"/>
      <c r="F21" s="7">
        <v>3</v>
      </c>
      <c r="G21" s="7">
        <v>3</v>
      </c>
    </row>
    <row r="22" spans="1:7" x14ac:dyDescent="0.2">
      <c r="D22" s="6" t="s">
        <v>43</v>
      </c>
      <c r="E22" s="7">
        <v>1</v>
      </c>
      <c r="F22" s="7">
        <v>2</v>
      </c>
      <c r="G22" s="7">
        <v>3</v>
      </c>
    </row>
    <row r="23" spans="1:7" x14ac:dyDescent="0.2">
      <c r="D23" s="6" t="s">
        <v>54</v>
      </c>
      <c r="E23" s="7"/>
      <c r="F23" s="7">
        <v>3</v>
      </c>
      <c r="G23" s="7">
        <v>3</v>
      </c>
    </row>
    <row r="24" spans="1:7" x14ac:dyDescent="0.2">
      <c r="D24" s="6" t="s">
        <v>69</v>
      </c>
      <c r="E24" s="7">
        <v>2</v>
      </c>
      <c r="F24" s="7">
        <v>10</v>
      </c>
      <c r="G24" s="7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F1F0D-D197-3245-8555-D6C9B7894B81}">
  <dimension ref="A6:D8"/>
  <sheetViews>
    <sheetView showGridLines="0" topLeftCell="A7" workbookViewId="0">
      <selection activeCell="F36" sqref="F36"/>
    </sheetView>
  </sheetViews>
  <sheetFormatPr baseColWidth="10" defaultRowHeight="16" x14ac:dyDescent="0.2"/>
  <cols>
    <col min="2" max="2" width="12.33203125" bestFit="1" customWidth="1"/>
    <col min="3" max="3" width="13.1640625" bestFit="1" customWidth="1"/>
    <col min="4" max="4" width="11.6640625" bestFit="1" customWidth="1"/>
  </cols>
  <sheetData>
    <row r="6" spans="1:4" x14ac:dyDescent="0.2">
      <c r="A6" s="8" t="s">
        <v>74</v>
      </c>
    </row>
    <row r="7" spans="1:4" x14ac:dyDescent="0.2">
      <c r="A7" s="8" t="s">
        <v>75</v>
      </c>
      <c r="B7" s="8" t="s">
        <v>76</v>
      </c>
      <c r="C7" s="8" t="s">
        <v>77</v>
      </c>
      <c r="D7" s="8" t="s">
        <v>78</v>
      </c>
    </row>
    <row r="8" spans="1:4" x14ac:dyDescent="0.2">
      <c r="A8">
        <f>COUNTA(ProjectData[Task])</f>
        <v>12</v>
      </c>
      <c r="B8" s="9">
        <f>AVERAGE(ProjectData[[#All],[% Complete]])</f>
        <v>0.44166666666666665</v>
      </c>
      <c r="C8">
        <f ca="1">COUNTIF(ProjectData[Overdue Flag],"Overdue")</f>
        <v>0</v>
      </c>
      <c r="D8" s="9">
        <f>COUNTIF(ProjectData[[#All],[Compliance Status]],"Compliant") /COUNTA(ProjectData[[#All],[Task]])</f>
        <v>0.15384615384615385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Data</vt:lpstr>
      <vt:lpstr>Analysis 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Banks, Isaiah</dc:creator>
  <cp:lastModifiedBy>Banks, Isaiah</cp:lastModifiedBy>
  <dcterms:created xsi:type="dcterms:W3CDTF">2026-03-25T15:32:38Z</dcterms:created>
  <dcterms:modified xsi:type="dcterms:W3CDTF">2026-03-26T17:53:13Z</dcterms:modified>
</cp:coreProperties>
</file>